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wenchai/Downloads/"/>
    </mc:Choice>
  </mc:AlternateContent>
  <xr:revisionPtr revIDLastSave="0" documentId="13_ncr:1_{F50F9E4D-A8BD-0D4A-BDD5-FA25F8344DEF}" xr6:coauthVersionLast="47" xr6:coauthVersionMax="47" xr10:uidLastSave="{00000000-0000-0000-0000-000000000000}"/>
  <bookViews>
    <workbookView xWindow="0" yWindow="660" windowWidth="29400" windowHeight="17320" tabRatio="500" xr2:uid="{00000000-000D-0000-FFFF-FFFF00000000}"/>
  </bookViews>
  <sheets>
    <sheet name="Pricing &amp; Revenue Model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8" i="1" l="1"/>
  <c r="C28" i="1"/>
  <c r="H28" i="1" s="1"/>
  <c r="C27" i="1"/>
  <c r="D27" i="1" s="1"/>
  <c r="H26" i="1"/>
  <c r="D26" i="1"/>
  <c r="E26" i="1" s="1"/>
  <c r="C26" i="1"/>
  <c r="C25" i="1"/>
  <c r="H25" i="1" s="1"/>
  <c r="H24" i="1"/>
  <c r="G24" i="1"/>
  <c r="I24" i="1" s="1"/>
  <c r="D24" i="1"/>
  <c r="E24" i="1" s="1"/>
  <c r="C23" i="1"/>
  <c r="H23" i="1" s="1"/>
  <c r="H22" i="1"/>
  <c r="D22" i="1"/>
  <c r="G22" i="1" s="1"/>
  <c r="I22" i="1" s="1"/>
  <c r="C21" i="1"/>
  <c r="H21" i="1" s="1"/>
  <c r="C20" i="1"/>
  <c r="D20" i="1" s="1"/>
  <c r="B15" i="1"/>
  <c r="C19" i="1" s="1"/>
  <c r="D19" i="1" l="1"/>
  <c r="H19" i="1"/>
  <c r="G20" i="1"/>
  <c r="E20" i="1"/>
  <c r="G27" i="1"/>
  <c r="I27" i="1" s="1"/>
  <c r="E27" i="1"/>
  <c r="D23" i="1"/>
  <c r="D25" i="1"/>
  <c r="E22" i="1"/>
  <c r="H20" i="1"/>
  <c r="H27" i="1"/>
  <c r="D28" i="1"/>
  <c r="D21" i="1"/>
  <c r="G26" i="1"/>
  <c r="I26" i="1" s="1"/>
  <c r="G25" i="1" l="1"/>
  <c r="I25" i="1" s="1"/>
  <c r="E25" i="1"/>
  <c r="G23" i="1"/>
  <c r="I23" i="1" s="1"/>
  <c r="E23" i="1"/>
  <c r="E21" i="1"/>
  <c r="G21" i="1"/>
  <c r="I21" i="1" s="1"/>
  <c r="I20" i="1"/>
  <c r="G28" i="1"/>
  <c r="I28" i="1" s="1"/>
  <c r="E28" i="1"/>
  <c r="H29" i="1"/>
  <c r="D44" i="1"/>
  <c r="G44" i="1" s="1"/>
  <c r="E19" i="1"/>
  <c r="D43" i="1"/>
  <c r="G43" i="1" s="1"/>
  <c r="G19" i="1"/>
  <c r="D42" i="1"/>
  <c r="G42" i="1" s="1"/>
  <c r="D47" i="1"/>
  <c r="G47" i="1" s="1"/>
  <c r="D46" i="1"/>
  <c r="G46" i="1" s="1"/>
  <c r="D41" i="1"/>
  <c r="G41" i="1" s="1"/>
  <c r="D45" i="1"/>
  <c r="G45" i="1" s="1"/>
  <c r="E36" i="1" l="1"/>
  <c r="E34" i="1"/>
  <c r="E35" i="1"/>
  <c r="E37" i="1"/>
  <c r="E33" i="1"/>
  <c r="G48" i="1"/>
  <c r="G29" i="1"/>
  <c r="I19" i="1"/>
  <c r="I29" i="1" s="1"/>
  <c r="E29" i="1" s="1"/>
  <c r="D34" i="1" l="1"/>
  <c r="F34" i="1" s="1"/>
  <c r="G34" i="1" s="1"/>
  <c r="D35" i="1"/>
  <c r="D33" i="1"/>
  <c r="D36" i="1"/>
  <c r="D37" i="1"/>
  <c r="H37" i="1" l="1"/>
  <c r="I37" i="1" s="1"/>
  <c r="F37" i="1"/>
  <c r="G37" i="1" s="1"/>
  <c r="F36" i="1"/>
  <c r="G36" i="1" s="1"/>
  <c r="H36" i="1"/>
  <c r="I36" i="1" s="1"/>
  <c r="H33" i="1"/>
  <c r="I33" i="1" s="1"/>
  <c r="F33" i="1"/>
  <c r="G33" i="1" s="1"/>
  <c r="H35" i="1"/>
  <c r="I35" i="1" s="1"/>
  <c r="F35" i="1"/>
  <c r="G35" i="1" s="1"/>
</calcChain>
</file>

<file path=xl/sharedStrings.xml><?xml version="1.0" encoding="utf-8"?>
<sst xmlns="http://schemas.openxmlformats.org/spreadsheetml/2006/main" count="101" uniqueCount="98">
  <si>
    <t>Scenario-Based Pricing with Volume &amp; Regional Sensitivity Analysis  |  Blue = Input  |  Black = Formula  |  Green = Cross-sheet</t>
  </si>
  <si>
    <t>A.  GLOBAL COST ASSUMPTIONS</t>
  </si>
  <si>
    <t>Assumption</t>
  </si>
  <si>
    <t>Value</t>
  </si>
  <si>
    <t>Notes</t>
  </si>
  <si>
    <t xml:space="preserve">  Labor cost per vial (reprogramming + QC)</t>
  </si>
  <si>
    <t xml:space="preserve">  Reagent &amp; media cost per vial</t>
  </si>
  <si>
    <t>Estimate from StemCell Technologies catalog pricing</t>
  </si>
  <si>
    <t xml:space="preserve">  Cryopreservation supplies per vial</t>
  </si>
  <si>
    <t>Includes liquid nitrogen, cryovials, labels</t>
  </si>
  <si>
    <t xml:space="preserve">  Storage cost per vial per year</t>
  </si>
  <si>
    <t>Per vial per year in vapor-phase LN2 tank</t>
  </si>
  <si>
    <t xml:space="preserve">  Overhead allocation per vial</t>
  </si>
  <si>
    <t>IT, facilities, compliance, admin (~20% of direct costs)</t>
  </si>
  <si>
    <t xml:space="preserve">  Target gross margin (%)</t>
  </si>
  <si>
    <t>Benchmark: WiCell 45-55%, Cedars-Sinai 50%</t>
  </si>
  <si>
    <t xml:space="preserve">  Annual volume growth assumption</t>
  </si>
  <si>
    <t>Conservative estimate for Year 1-3 ramp</t>
  </si>
  <si>
    <t>Total Variable Cost per Vial</t>
  </si>
  <si>
    <t>B.  PRODUCT CATALOG &amp; BASE PRICING  (Standard Tier)</t>
  </si>
  <si>
    <t>Product / Service</t>
  </si>
  <si>
    <t>Unit</t>
  </si>
  <si>
    <t>COGS/Unit ($)</t>
  </si>
  <si>
    <t>Base Price ($)</t>
  </si>
  <si>
    <t>Margin (%)</t>
  </si>
  <si>
    <t>Annual Vol (units)</t>
  </si>
  <si>
    <t>Annual Revenue ($)</t>
  </si>
  <si>
    <t>Annual COGS ($)</t>
  </si>
  <si>
    <t>Gross Profit ($)</t>
  </si>
  <si>
    <t xml:space="preserve">  Banked iPSC line – standard vial (1×10⁶ cells)</t>
  </si>
  <si>
    <t>vial</t>
  </si>
  <si>
    <t xml:space="preserve">  Banked iPSC line – research-grade bulk (5 vials)</t>
  </si>
  <si>
    <t>lot</t>
  </si>
  <si>
    <t xml:space="preserve">  Custom reprogramming service (PBMCs → iPSC)</t>
  </si>
  <si>
    <t>project</t>
  </si>
  <si>
    <t xml:space="preserve">  Characterization package (karyotype + pluripotency)</t>
  </si>
  <si>
    <t>sample</t>
  </si>
  <si>
    <t>250</t>
  </si>
  <si>
    <t xml:space="preserve">  Exosome harvest service (conditioned media → EVs)</t>
  </si>
  <si>
    <t>prep</t>
  </si>
  <si>
    <t xml:space="preserve">  Mycoplasma testing (per vial)</t>
  </si>
  <si>
    <t>test</t>
  </si>
  <si>
    <t>45</t>
  </si>
  <si>
    <t xml:space="preserve">  Short-term storage &amp; distribution (per shipment)</t>
  </si>
  <si>
    <t>shipment</t>
  </si>
  <si>
    <t xml:space="preserve">  Annual storage subscription (per line)</t>
  </si>
  <si>
    <t>line/year</t>
  </si>
  <si>
    <t xml:space="preserve">  Differentiation service (spinal cord assembloid)</t>
  </si>
  <si>
    <t xml:space="preserve">  Training &amp; access – bench fee (per day)</t>
  </si>
  <si>
    <t>day</t>
  </si>
  <si>
    <t>TOTAL</t>
  </si>
  <si>
    <t>C.  SCENARIO ANALYSIS  (Revenue Sensitivity by Volume &amp; Margin)</t>
  </si>
  <si>
    <t>Scenario</t>
  </si>
  <si>
    <t>Vol. Multiplier</t>
  </si>
  <si>
    <t>Margin Adj.</t>
  </si>
  <si>
    <t>Projected Revenue ($)</t>
  </si>
  <si>
    <t>Projected COGS ($)</t>
  </si>
  <si>
    <t>Blended Margin (%)</t>
  </si>
  <si>
    <t>vs. Base ($)</t>
  </si>
  <si>
    <t>vs. Base (%)</t>
  </si>
  <si>
    <t xml:space="preserve">  Conservative (Year 1)</t>
  </si>
  <si>
    <t xml:space="preserve">  Base Case (Year 2)</t>
  </si>
  <si>
    <t>0</t>
  </si>
  <si>
    <t xml:space="preserve">  Optimistic (Year 3)</t>
  </si>
  <si>
    <t xml:space="preserve">  Scale (Year 4)</t>
  </si>
  <si>
    <t xml:space="preserve">  Mature (Year 5)</t>
  </si>
  <si>
    <t>D.  REGIONAL PRICING TIERS  (Standard iPSC Vial – Tier Adjustments)</t>
  </si>
  <si>
    <t>Customer Tier</t>
  </si>
  <si>
    <t>Example Institutions</t>
  </si>
  <si>
    <t>Price Multiplier</t>
  </si>
  <si>
    <t>Adjusted Price ($)</t>
  </si>
  <si>
    <t>Rationale</t>
  </si>
  <si>
    <t>Est. Annual Vol</t>
  </si>
  <si>
    <t>Tier Revenue ($)</t>
  </si>
  <si>
    <t>Cost-recovery; promote internal use</t>
  </si>
  <si>
    <t xml:space="preserve">  Academic – Consortium</t>
  </si>
  <si>
    <t>Big Ten, CTSI partners</t>
  </si>
  <si>
    <t>Reciprocal access agreements</t>
  </si>
  <si>
    <t xml:space="preserve">  Academic – Standard</t>
  </si>
  <si>
    <t>Non-consortium U.S. universities</t>
  </si>
  <si>
    <t>Standard list price</t>
  </si>
  <si>
    <t xml:space="preserve">  Nonprofit / Hospital</t>
  </si>
  <si>
    <t>M Health Fairview, Mayo Clinic</t>
  </si>
  <si>
    <t>Slight premium for clinical proximity</t>
  </si>
  <si>
    <t xml:space="preserve">  Biotech / Small Company</t>
  </si>
  <si>
    <t>Startups &lt;50 employees</t>
  </si>
  <si>
    <t>Market rate; negotiable volume deals</t>
  </si>
  <si>
    <t xml:space="preserve">  Pharma / Large Industry</t>
  </si>
  <si>
    <t>AbbVie, Pfizer, Regeneron</t>
  </si>
  <si>
    <t>Full commercial rate; IP agreement req.</t>
  </si>
  <si>
    <t xml:space="preserve">  International Academic</t>
  </si>
  <si>
    <t>Canadian, EU universities</t>
  </si>
  <si>
    <t>Includes shipping/customs premium</t>
  </si>
  <si>
    <t>TIER TOTAL</t>
  </si>
  <si>
    <t>Source: XYZ University iPSC Core comparable; adjust quarterly</t>
  </si>
  <si>
    <t xml:space="preserve">  Internal – XYZ University</t>
  </si>
  <si>
    <t>XYZ University labs / core users</t>
  </si>
  <si>
    <t>XYZ University iPSC Cell Line Bank | Product Pricing &amp; Revenue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</si>
</sst>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"/>
    <numFmt numFmtId="165" formatCode="0.0%"/>
    <numFmt numFmtId="166" formatCode="0.0\x"/>
    <numFmt numFmtId="167" formatCode="\+0.0%;\-0.0%;\-"/>
    <numFmt numFmtId="168" formatCode="\$#,##0;&quot;($&quot;#,##0\);\-"/>
    <numFmt numFmtId="169" formatCode="0.0%;\(0.0%\);\-"/>
    <numFmt numFmtId="170" formatCode="0.00\x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color rgb="FF555555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sz val="11"/>
      <color rgb="FF000000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0D2D6B"/>
        <bgColor rgb="FF1F4E79"/>
      </patternFill>
    </fill>
    <fill>
      <patternFill patternType="solid">
        <fgColor rgb="FF2E75B6"/>
        <bgColor rgb="FF0066CC"/>
      </patternFill>
    </fill>
    <fill>
      <patternFill patternType="solid">
        <fgColor rgb="FF1F4E79"/>
        <bgColor rgb="FF0D2D6B"/>
      </patternFill>
    </fill>
    <fill>
      <patternFill patternType="solid">
        <fgColor rgb="FFEBF3FF"/>
        <bgColor rgb="FFFFFFFF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3" fillId="4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5" fillId="5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right"/>
    </xf>
    <xf numFmtId="165" fontId="7" fillId="5" borderId="1" xfId="0" applyNumberFormat="1" applyFont="1" applyFill="1" applyBorder="1" applyAlignment="1">
      <alignment horizontal="right"/>
    </xf>
    <xf numFmtId="3" fontId="6" fillId="5" borderId="1" xfId="0" applyNumberFormat="1" applyFont="1" applyFill="1" applyBorder="1" applyAlignment="1">
      <alignment horizontal="right"/>
    </xf>
    <xf numFmtId="0" fontId="4" fillId="6" borderId="1" xfId="0" applyFont="1" applyFill="1" applyBorder="1" applyAlignment="1">
      <alignment horizontal="left" vertical="center"/>
    </xf>
    <xf numFmtId="0" fontId="4" fillId="6" borderId="0" xfId="0" applyFont="1" applyFill="1"/>
    <xf numFmtId="165" fontId="4" fillId="6" borderId="1" xfId="0" applyNumberFormat="1" applyFont="1" applyFill="1" applyBorder="1" applyAlignment="1">
      <alignment horizontal="right"/>
    </xf>
    <xf numFmtId="164" fontId="4" fillId="6" borderId="1" xfId="0" applyNumberFormat="1" applyFont="1" applyFill="1" applyBorder="1" applyAlignment="1">
      <alignment horizontal="right"/>
    </xf>
    <xf numFmtId="166" fontId="6" fillId="0" borderId="1" xfId="0" applyNumberFormat="1" applyFont="1" applyBorder="1" applyAlignment="1">
      <alignment horizontal="right"/>
    </xf>
    <xf numFmtId="167" fontId="6" fillId="0" borderId="1" xfId="0" applyNumberFormat="1" applyFont="1" applyBorder="1" applyAlignment="1">
      <alignment horizontal="right"/>
    </xf>
    <xf numFmtId="168" fontId="7" fillId="0" borderId="1" xfId="0" applyNumberFormat="1" applyFont="1" applyBorder="1" applyAlignment="1">
      <alignment horizontal="right"/>
    </xf>
    <xf numFmtId="169" fontId="7" fillId="0" borderId="1" xfId="0" applyNumberFormat="1" applyFont="1" applyBorder="1" applyAlignment="1">
      <alignment horizontal="right"/>
    </xf>
    <xf numFmtId="166" fontId="6" fillId="5" borderId="1" xfId="0" applyNumberFormat="1" applyFont="1" applyFill="1" applyBorder="1" applyAlignment="1">
      <alignment horizontal="right"/>
    </xf>
    <xf numFmtId="167" fontId="6" fillId="5" borderId="1" xfId="0" applyNumberFormat="1" applyFont="1" applyFill="1" applyBorder="1" applyAlignment="1">
      <alignment horizontal="right"/>
    </xf>
    <xf numFmtId="168" fontId="7" fillId="5" borderId="1" xfId="0" applyNumberFormat="1" applyFont="1" applyFill="1" applyBorder="1" applyAlignment="1">
      <alignment horizontal="right"/>
    </xf>
    <xf numFmtId="169" fontId="7" fillId="5" borderId="1" xfId="0" applyNumberFormat="1" applyFont="1" applyFill="1" applyBorder="1" applyAlignment="1">
      <alignment horizontal="right"/>
    </xf>
    <xf numFmtId="170" fontId="6" fillId="0" borderId="1" xfId="0" applyNumberFormat="1" applyFont="1" applyBorder="1" applyAlignment="1">
      <alignment horizontal="right"/>
    </xf>
    <xf numFmtId="170" fontId="6" fillId="5" borderId="1" xfId="0" applyNumberFormat="1" applyFont="1" applyFill="1" applyBorder="1" applyAlignment="1">
      <alignment horizontal="right"/>
    </xf>
    <xf numFmtId="3" fontId="4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0D2D6B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showGridLines="0"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8" sqref="B18"/>
    </sheetView>
  </sheetViews>
  <sheetFormatPr baseColWidth="10" defaultColWidth="8.6640625" defaultRowHeight="15" x14ac:dyDescent="0.2"/>
  <cols>
    <col min="1" max="1" width="32" customWidth="1"/>
    <col min="2" max="2" width="16" customWidth="1"/>
    <col min="3" max="4" width="14" customWidth="1"/>
    <col min="5" max="5" width="10" customWidth="1"/>
    <col min="6" max="6" width="16" customWidth="1"/>
    <col min="7" max="7" width="18" customWidth="1"/>
    <col min="8" max="9" width="16" customWidth="1"/>
  </cols>
  <sheetData>
    <row r="1" spans="1:13" ht="36" customHeight="1" x14ac:dyDescent="0.2">
      <c r="A1" s="3" t="s">
        <v>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.7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ht="21.75" customHeight="1" x14ac:dyDescent="0.2">
      <c r="A4" s="1" t="s">
        <v>1</v>
      </c>
      <c r="B4" s="1"/>
      <c r="C4" s="1"/>
      <c r="D4" s="1"/>
      <c r="E4" s="1"/>
      <c r="F4" s="1"/>
    </row>
    <row r="5" spans="1:13" ht="15" customHeight="1" x14ac:dyDescent="0.2">
      <c r="A5" s="4" t="s">
        <v>2</v>
      </c>
      <c r="B5" s="4" t="s">
        <v>3</v>
      </c>
      <c r="C5" s="4" t="s">
        <v>4</v>
      </c>
    </row>
    <row r="8" spans="1:13" ht="15.75" customHeight="1" x14ac:dyDescent="0.2">
      <c r="A8" s="5" t="s">
        <v>5</v>
      </c>
      <c r="B8" s="6">
        <v>180</v>
      </c>
      <c r="C8" s="5" t="s">
        <v>94</v>
      </c>
    </row>
    <row r="9" spans="1:13" ht="15.75" customHeight="1" x14ac:dyDescent="0.2">
      <c r="A9" s="5" t="s">
        <v>6</v>
      </c>
      <c r="B9" s="6">
        <v>95</v>
      </c>
      <c r="C9" s="5" t="s">
        <v>7</v>
      </c>
    </row>
    <row r="10" spans="1:13" ht="15.75" customHeight="1" x14ac:dyDescent="0.2">
      <c r="A10" s="5" t="s">
        <v>8</v>
      </c>
      <c r="B10" s="6">
        <v>18</v>
      </c>
      <c r="C10" s="5" t="s">
        <v>9</v>
      </c>
    </row>
    <row r="11" spans="1:13" ht="15.75" customHeight="1" x14ac:dyDescent="0.2">
      <c r="A11" s="5" t="s">
        <v>10</v>
      </c>
      <c r="B11" s="6">
        <v>12</v>
      </c>
      <c r="C11" s="5" t="s">
        <v>11</v>
      </c>
    </row>
    <row r="12" spans="1:13" ht="15.75" customHeight="1" x14ac:dyDescent="0.2">
      <c r="A12" s="5" t="s">
        <v>12</v>
      </c>
      <c r="B12" s="6">
        <v>35</v>
      </c>
      <c r="C12" s="5" t="s">
        <v>13</v>
      </c>
    </row>
    <row r="13" spans="1:13" ht="15.75" customHeight="1" x14ac:dyDescent="0.2">
      <c r="A13" s="5" t="s">
        <v>14</v>
      </c>
      <c r="B13" s="7">
        <v>0.45</v>
      </c>
      <c r="C13" s="5" t="s">
        <v>15</v>
      </c>
    </row>
    <row r="14" spans="1:13" ht="15.75" customHeight="1" x14ac:dyDescent="0.2">
      <c r="A14" s="5" t="s">
        <v>16</v>
      </c>
      <c r="B14" s="7">
        <v>0.1</v>
      </c>
      <c r="C14" s="5" t="s">
        <v>17</v>
      </c>
    </row>
    <row r="15" spans="1:13" ht="15" customHeight="1" x14ac:dyDescent="0.2">
      <c r="A15" s="4" t="s">
        <v>18</v>
      </c>
      <c r="B15" s="8">
        <f>SUM(B8:B12)</f>
        <v>340</v>
      </c>
    </row>
    <row r="17" spans="1:12" ht="15" customHeight="1" x14ac:dyDescent="0.2">
      <c r="A17" s="1" t="s">
        <v>19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6.25" customHeight="1" x14ac:dyDescent="0.2">
      <c r="A18" s="9" t="s">
        <v>20</v>
      </c>
      <c r="B18" s="9" t="s">
        <v>21</v>
      </c>
      <c r="C18" s="9" t="s">
        <v>22</v>
      </c>
      <c r="D18" s="9" t="s">
        <v>23</v>
      </c>
      <c r="E18" s="9" t="s">
        <v>24</v>
      </c>
      <c r="F18" s="9" t="s">
        <v>25</v>
      </c>
      <c r="G18" s="9" t="s">
        <v>26</v>
      </c>
      <c r="H18" s="9" t="s">
        <v>27</v>
      </c>
      <c r="I18" s="9" t="s">
        <v>28</v>
      </c>
    </row>
    <row r="19" spans="1:12" ht="15.75" customHeight="1" x14ac:dyDescent="0.2">
      <c r="A19" s="5" t="s">
        <v>29</v>
      </c>
      <c r="B19" s="5" t="s">
        <v>30</v>
      </c>
      <c r="C19" s="10">
        <f>B15</f>
        <v>340</v>
      </c>
      <c r="D19" s="10">
        <f t="shared" ref="D19:D28" si="0">C19/(1-$B$13)</f>
        <v>618.18181818181813</v>
      </c>
      <c r="E19" s="11">
        <f t="shared" ref="E19:E28" si="1">(D19-C19)/D19</f>
        <v>0.44999999999999996</v>
      </c>
      <c r="F19" s="12">
        <v>40</v>
      </c>
      <c r="G19" s="10">
        <f t="shared" ref="G19:G28" si="2">D19*F19</f>
        <v>24727.272727272724</v>
      </c>
      <c r="H19" s="10">
        <f t="shared" ref="H19:H28" si="3">C19*F19</f>
        <v>13600</v>
      </c>
      <c r="I19" s="10">
        <f t="shared" ref="I19:I28" si="4">G19-H19</f>
        <v>11127.272727272724</v>
      </c>
    </row>
    <row r="20" spans="1:12" ht="15.75" customHeight="1" x14ac:dyDescent="0.2">
      <c r="A20" s="13" t="s">
        <v>31</v>
      </c>
      <c r="B20" s="13" t="s">
        <v>32</v>
      </c>
      <c r="C20" s="14">
        <f>B15*5*0.9</f>
        <v>1530</v>
      </c>
      <c r="D20" s="14">
        <f t="shared" si="0"/>
        <v>2781.8181818181815</v>
      </c>
      <c r="E20" s="15">
        <f t="shared" si="1"/>
        <v>0.44999999999999996</v>
      </c>
      <c r="F20" s="16">
        <v>15</v>
      </c>
      <c r="G20" s="14">
        <f t="shared" si="2"/>
        <v>41727.272727272721</v>
      </c>
      <c r="H20" s="14">
        <f t="shared" si="3"/>
        <v>22950</v>
      </c>
      <c r="I20" s="14">
        <f t="shared" si="4"/>
        <v>18777.272727272721</v>
      </c>
    </row>
    <row r="21" spans="1:12" ht="15.75" customHeight="1" x14ac:dyDescent="0.2">
      <c r="A21" s="5" t="s">
        <v>33</v>
      </c>
      <c r="B21" s="5" t="s">
        <v>34</v>
      </c>
      <c r="C21" s="10">
        <f>B8*8+B9*3</f>
        <v>1725</v>
      </c>
      <c r="D21" s="10">
        <f t="shared" si="0"/>
        <v>3136.363636363636</v>
      </c>
      <c r="E21" s="11">
        <f t="shared" si="1"/>
        <v>0.44999999999999996</v>
      </c>
      <c r="F21" s="12">
        <v>10</v>
      </c>
      <c r="G21" s="10">
        <f t="shared" si="2"/>
        <v>31363.63636363636</v>
      </c>
      <c r="H21" s="10">
        <f t="shared" si="3"/>
        <v>17250</v>
      </c>
      <c r="I21" s="10">
        <f t="shared" si="4"/>
        <v>14113.63636363636</v>
      </c>
    </row>
    <row r="22" spans="1:12" ht="15.75" customHeight="1" x14ac:dyDescent="0.2">
      <c r="A22" s="13" t="s">
        <v>35</v>
      </c>
      <c r="B22" s="13" t="s">
        <v>36</v>
      </c>
      <c r="C22" s="14" t="s">
        <v>37</v>
      </c>
      <c r="D22" s="14">
        <f t="shared" si="0"/>
        <v>454.5454545454545</v>
      </c>
      <c r="E22" s="15">
        <f t="shared" si="1"/>
        <v>0.44999999999999996</v>
      </c>
      <c r="F22" s="16">
        <v>30</v>
      </c>
      <c r="G22" s="14">
        <f t="shared" si="2"/>
        <v>13636.363636363636</v>
      </c>
      <c r="H22" s="14">
        <f t="shared" si="3"/>
        <v>7500</v>
      </c>
      <c r="I22" s="14">
        <f t="shared" si="4"/>
        <v>6136.363636363636</v>
      </c>
    </row>
    <row r="23" spans="1:12" ht="15.75" customHeight="1" x14ac:dyDescent="0.2">
      <c r="A23" s="5" t="s">
        <v>38</v>
      </c>
      <c r="B23" s="5" t="s">
        <v>39</v>
      </c>
      <c r="C23" s="10">
        <f>B9*2+B8*1.5</f>
        <v>460</v>
      </c>
      <c r="D23" s="10">
        <f t="shared" si="0"/>
        <v>836.36363636363626</v>
      </c>
      <c r="E23" s="11">
        <f t="shared" si="1"/>
        <v>0.44999999999999996</v>
      </c>
      <c r="F23" s="12">
        <v>20</v>
      </c>
      <c r="G23" s="10">
        <f t="shared" si="2"/>
        <v>16727.272727272724</v>
      </c>
      <c r="H23" s="10">
        <f t="shared" si="3"/>
        <v>9200</v>
      </c>
      <c r="I23" s="10">
        <f t="shared" si="4"/>
        <v>7527.2727272727243</v>
      </c>
    </row>
    <row r="24" spans="1:12" ht="15.75" customHeight="1" x14ac:dyDescent="0.2">
      <c r="A24" s="13" t="s">
        <v>40</v>
      </c>
      <c r="B24" s="13" t="s">
        <v>41</v>
      </c>
      <c r="C24" s="14" t="s">
        <v>42</v>
      </c>
      <c r="D24" s="14">
        <f t="shared" si="0"/>
        <v>81.818181818181813</v>
      </c>
      <c r="E24" s="15">
        <f t="shared" si="1"/>
        <v>0.44999999999999996</v>
      </c>
      <c r="F24" s="16">
        <v>80</v>
      </c>
      <c r="G24" s="14">
        <f t="shared" si="2"/>
        <v>6545.454545454545</v>
      </c>
      <c r="H24" s="14">
        <f t="shared" si="3"/>
        <v>3600</v>
      </c>
      <c r="I24" s="14">
        <f t="shared" si="4"/>
        <v>2945.454545454545</v>
      </c>
    </row>
    <row r="25" spans="1:12" ht="15.75" customHeight="1" x14ac:dyDescent="0.2">
      <c r="A25" s="5" t="s">
        <v>43</v>
      </c>
      <c r="B25" s="5" t="s">
        <v>44</v>
      </c>
      <c r="C25" s="10">
        <f>B10+25</f>
        <v>43</v>
      </c>
      <c r="D25" s="10">
        <f t="shared" si="0"/>
        <v>78.181818181818173</v>
      </c>
      <c r="E25" s="11">
        <f t="shared" si="1"/>
        <v>0.44999999999999996</v>
      </c>
      <c r="F25" s="12">
        <v>60</v>
      </c>
      <c r="G25" s="10">
        <f t="shared" si="2"/>
        <v>4690.9090909090901</v>
      </c>
      <c r="H25" s="10">
        <f t="shared" si="3"/>
        <v>2580</v>
      </c>
      <c r="I25" s="10">
        <f t="shared" si="4"/>
        <v>2110.9090909090901</v>
      </c>
    </row>
    <row r="26" spans="1:12" ht="15.75" customHeight="1" x14ac:dyDescent="0.2">
      <c r="A26" s="13" t="s">
        <v>45</v>
      </c>
      <c r="B26" s="13" t="s">
        <v>46</v>
      </c>
      <c r="C26" s="14">
        <f>B11*12</f>
        <v>144</v>
      </c>
      <c r="D26" s="14">
        <f t="shared" si="0"/>
        <v>261.81818181818181</v>
      </c>
      <c r="E26" s="15">
        <f t="shared" si="1"/>
        <v>0.45</v>
      </c>
      <c r="F26" s="16">
        <v>25</v>
      </c>
      <c r="G26" s="14">
        <f t="shared" si="2"/>
        <v>6545.454545454545</v>
      </c>
      <c r="H26" s="14">
        <f t="shared" si="3"/>
        <v>3600</v>
      </c>
      <c r="I26" s="14">
        <f t="shared" si="4"/>
        <v>2945.454545454545</v>
      </c>
    </row>
    <row r="27" spans="1:12" ht="15.75" customHeight="1" x14ac:dyDescent="0.2">
      <c r="A27" s="5" t="s">
        <v>47</v>
      </c>
      <c r="B27" s="5" t="s">
        <v>34</v>
      </c>
      <c r="C27" s="10">
        <f>B8*12+B9*6</f>
        <v>2730</v>
      </c>
      <c r="D27" s="10">
        <f t="shared" si="0"/>
        <v>4963.6363636363631</v>
      </c>
      <c r="E27" s="11">
        <f t="shared" si="1"/>
        <v>0.44999999999999996</v>
      </c>
      <c r="F27" s="12">
        <v>5</v>
      </c>
      <c r="G27" s="10">
        <f t="shared" si="2"/>
        <v>24818.181818181816</v>
      </c>
      <c r="H27" s="10">
        <f t="shared" si="3"/>
        <v>13650</v>
      </c>
      <c r="I27" s="10">
        <f t="shared" si="4"/>
        <v>11168.181818181816</v>
      </c>
    </row>
    <row r="28" spans="1:12" ht="15.75" customHeight="1" x14ac:dyDescent="0.2">
      <c r="A28" s="13" t="s">
        <v>48</v>
      </c>
      <c r="B28" s="13" t="s">
        <v>49</v>
      </c>
      <c r="C28" s="14">
        <f>B12+B8*0.5</f>
        <v>125</v>
      </c>
      <c r="D28" s="14">
        <f t="shared" si="0"/>
        <v>227.27272727272725</v>
      </c>
      <c r="E28" s="15">
        <f t="shared" si="1"/>
        <v>0.44999999999999996</v>
      </c>
      <c r="F28" s="16">
        <v>50</v>
      </c>
      <c r="G28" s="14">
        <f t="shared" si="2"/>
        <v>11363.636363636362</v>
      </c>
      <c r="H28" s="14">
        <f t="shared" si="3"/>
        <v>6250</v>
      </c>
      <c r="I28" s="14">
        <f t="shared" si="4"/>
        <v>5113.6363636363621</v>
      </c>
    </row>
    <row r="29" spans="1:12" ht="15" customHeight="1" x14ac:dyDescent="0.2">
      <c r="A29" s="17" t="s">
        <v>50</v>
      </c>
      <c r="B29" s="18"/>
      <c r="C29" s="18"/>
      <c r="D29" s="18"/>
      <c r="E29" s="19">
        <f>I29/G29</f>
        <v>0.44999999999999984</v>
      </c>
      <c r="F29" s="18"/>
      <c r="G29" s="20">
        <f>SUM(G19:G28)</f>
        <v>182145.45454545453</v>
      </c>
      <c r="H29" s="20">
        <f>SUM(H19:H28)</f>
        <v>100180</v>
      </c>
      <c r="I29" s="20">
        <f>SUM(I19:I28)</f>
        <v>81965.454545454515</v>
      </c>
    </row>
    <row r="31" spans="1:12" ht="15" customHeight="1" x14ac:dyDescent="0.2">
      <c r="A31" s="1" t="s">
        <v>51</v>
      </c>
      <c r="B31" s="1"/>
      <c r="C31" s="1"/>
      <c r="D31" s="1"/>
      <c r="E31" s="1"/>
      <c r="F31" s="1"/>
      <c r="G31" s="1"/>
      <c r="H31" s="1"/>
      <c r="I31" s="1"/>
    </row>
    <row r="32" spans="1:12" ht="39" customHeight="1" x14ac:dyDescent="0.2">
      <c r="A32" s="9" t="s">
        <v>52</v>
      </c>
      <c r="B32" s="9" t="s">
        <v>53</v>
      </c>
      <c r="C32" s="9" t="s">
        <v>54</v>
      </c>
      <c r="D32" s="9" t="s">
        <v>55</v>
      </c>
      <c r="E32" s="9" t="s">
        <v>56</v>
      </c>
      <c r="F32" s="9" t="s">
        <v>28</v>
      </c>
      <c r="G32" s="9" t="s">
        <v>57</v>
      </c>
      <c r="H32" s="9" t="s">
        <v>58</v>
      </c>
      <c r="I32" s="9" t="s">
        <v>59</v>
      </c>
    </row>
    <row r="33" spans="1:9" ht="15.75" customHeight="1" x14ac:dyDescent="0.2">
      <c r="A33" s="5" t="s">
        <v>60</v>
      </c>
      <c r="B33" s="21">
        <v>0.5</v>
      </c>
      <c r="C33" s="22">
        <v>-0.05</v>
      </c>
      <c r="D33" s="10">
        <f>G29*B33</f>
        <v>91072.727272727265</v>
      </c>
      <c r="E33" s="10">
        <f>H29*B33</f>
        <v>50090</v>
      </c>
      <c r="F33" s="10">
        <f>D33-E33</f>
        <v>40982.727272727265</v>
      </c>
      <c r="G33" s="11">
        <f>F33/D33</f>
        <v>0.44999999999999996</v>
      </c>
      <c r="H33" s="23">
        <f>D33-D34</f>
        <v>-91072.727272727265</v>
      </c>
      <c r="I33" s="24">
        <f>H33/D34-1</f>
        <v>-1.5</v>
      </c>
    </row>
    <row r="34" spans="1:9" ht="15.75" customHeight="1" x14ac:dyDescent="0.2">
      <c r="A34" s="13" t="s">
        <v>61</v>
      </c>
      <c r="B34" s="25">
        <v>1</v>
      </c>
      <c r="C34" s="26">
        <v>0</v>
      </c>
      <c r="D34" s="14">
        <f>G29*B34</f>
        <v>182145.45454545453</v>
      </c>
      <c r="E34" s="14">
        <f>H29*B34</f>
        <v>100180</v>
      </c>
      <c r="F34" s="14">
        <f>D34-E34</f>
        <v>81965.45454545453</v>
      </c>
      <c r="G34" s="15">
        <f>F34/D34</f>
        <v>0.44999999999999996</v>
      </c>
      <c r="H34" s="27" t="s">
        <v>62</v>
      </c>
      <c r="I34" s="28" t="s">
        <v>62</v>
      </c>
    </row>
    <row r="35" spans="1:9" ht="15.75" customHeight="1" x14ac:dyDescent="0.2">
      <c r="A35" s="5" t="s">
        <v>63</v>
      </c>
      <c r="B35" s="21">
        <v>1.5</v>
      </c>
      <c r="C35" s="22">
        <v>0.03</v>
      </c>
      <c r="D35" s="10">
        <f>G29*B35</f>
        <v>273218.18181818177</v>
      </c>
      <c r="E35" s="10">
        <f>H29*B35</f>
        <v>150270</v>
      </c>
      <c r="F35" s="10">
        <f>D35-E35</f>
        <v>122948.18181818177</v>
      </c>
      <c r="G35" s="11">
        <f>F35/D35</f>
        <v>0.4499999999999999</v>
      </c>
      <c r="H35" s="23">
        <f>D35-D34</f>
        <v>91072.727272727236</v>
      </c>
      <c r="I35" s="24">
        <f>H35/D34-1</f>
        <v>-0.50000000000000022</v>
      </c>
    </row>
    <row r="36" spans="1:9" ht="15.75" customHeight="1" x14ac:dyDescent="0.2">
      <c r="A36" s="13" t="s">
        <v>64</v>
      </c>
      <c r="B36" s="25">
        <v>2.5</v>
      </c>
      <c r="C36" s="26">
        <v>0.05</v>
      </c>
      <c r="D36" s="14">
        <f>G29*B36</f>
        <v>455363.63636363635</v>
      </c>
      <c r="E36" s="14">
        <f>H29*B36</f>
        <v>250450</v>
      </c>
      <c r="F36" s="14">
        <f>D36-E36</f>
        <v>204913.63636363635</v>
      </c>
      <c r="G36" s="15">
        <f>F36/D36</f>
        <v>0.45</v>
      </c>
      <c r="H36" s="27">
        <f>D36-D34</f>
        <v>273218.18181818182</v>
      </c>
      <c r="I36" s="28">
        <f>H36/D34-1</f>
        <v>0.50000000000000022</v>
      </c>
    </row>
    <row r="37" spans="1:9" ht="15.75" customHeight="1" x14ac:dyDescent="0.2">
      <c r="A37" s="5" t="s">
        <v>65</v>
      </c>
      <c r="B37" s="21">
        <v>4</v>
      </c>
      <c r="C37" s="22">
        <v>7.0000000000000007E-2</v>
      </c>
      <c r="D37" s="10">
        <f>G29*B37</f>
        <v>728581.81818181812</v>
      </c>
      <c r="E37" s="10">
        <f>H29*B37</f>
        <v>400720</v>
      </c>
      <c r="F37" s="10">
        <f>D37-E37</f>
        <v>327861.81818181812</v>
      </c>
      <c r="G37" s="11">
        <f>F37/D37</f>
        <v>0.44999999999999996</v>
      </c>
      <c r="H37" s="23">
        <f>D37-D34</f>
        <v>546436.36363636353</v>
      </c>
      <c r="I37" s="24">
        <f>H37/D34-1</f>
        <v>1.9999999999999996</v>
      </c>
    </row>
    <row r="39" spans="1:9" ht="15" customHeight="1" x14ac:dyDescent="0.2">
      <c r="A39" s="1" t="s">
        <v>66</v>
      </c>
      <c r="B39" s="1"/>
      <c r="C39" s="1"/>
      <c r="D39" s="1"/>
      <c r="E39" s="1"/>
      <c r="F39" s="1"/>
      <c r="G39" s="1"/>
      <c r="H39" s="1"/>
      <c r="I39" s="1"/>
    </row>
    <row r="40" spans="1:9" ht="26.25" customHeight="1" x14ac:dyDescent="0.2">
      <c r="A40" s="9" t="s">
        <v>67</v>
      </c>
      <c r="B40" s="9" t="s">
        <v>68</v>
      </c>
      <c r="C40" s="9" t="s">
        <v>69</v>
      </c>
      <c r="D40" s="9" t="s">
        <v>70</v>
      </c>
      <c r="E40" s="9" t="s">
        <v>71</v>
      </c>
      <c r="F40" s="9" t="s">
        <v>72</v>
      </c>
      <c r="G40" s="9" t="s">
        <v>73</v>
      </c>
    </row>
    <row r="41" spans="1:9" ht="15.75" customHeight="1" x14ac:dyDescent="0.2">
      <c r="A41" s="5" t="s">
        <v>95</v>
      </c>
      <c r="B41" s="5" t="s">
        <v>96</v>
      </c>
      <c r="C41" s="29">
        <v>0.6</v>
      </c>
      <c r="D41" s="10">
        <f>D19*C41</f>
        <v>370.90909090909088</v>
      </c>
      <c r="E41" s="5" t="s">
        <v>74</v>
      </c>
      <c r="F41" s="12">
        <v>20</v>
      </c>
      <c r="G41" s="10">
        <f t="shared" ref="G41:G47" si="5">D41*F41</f>
        <v>7418.181818181818</v>
      </c>
    </row>
    <row r="42" spans="1:9" ht="15.75" customHeight="1" x14ac:dyDescent="0.2">
      <c r="A42" s="13" t="s">
        <v>75</v>
      </c>
      <c r="B42" s="13" t="s">
        <v>76</v>
      </c>
      <c r="C42" s="30">
        <v>0.8</v>
      </c>
      <c r="D42" s="14">
        <f>D19*C42</f>
        <v>494.5454545454545</v>
      </c>
      <c r="E42" s="13" t="s">
        <v>77</v>
      </c>
      <c r="F42" s="16">
        <v>30</v>
      </c>
      <c r="G42" s="14">
        <f t="shared" si="5"/>
        <v>14836.363636363636</v>
      </c>
    </row>
    <row r="43" spans="1:9" ht="15.75" customHeight="1" x14ac:dyDescent="0.2">
      <c r="A43" s="5" t="s">
        <v>78</v>
      </c>
      <c r="B43" s="5" t="s">
        <v>79</v>
      </c>
      <c r="C43" s="29">
        <v>1</v>
      </c>
      <c r="D43" s="10">
        <f>D19*C43</f>
        <v>618.18181818181813</v>
      </c>
      <c r="E43" s="5" t="s">
        <v>80</v>
      </c>
      <c r="F43" s="12">
        <v>35</v>
      </c>
      <c r="G43" s="10">
        <f t="shared" si="5"/>
        <v>21636.363636363636</v>
      </c>
    </row>
    <row r="44" spans="1:9" ht="15.75" customHeight="1" x14ac:dyDescent="0.2">
      <c r="A44" s="13" t="s">
        <v>81</v>
      </c>
      <c r="B44" s="13" t="s">
        <v>82</v>
      </c>
      <c r="C44" s="30">
        <v>1.05</v>
      </c>
      <c r="D44" s="14">
        <f>D19*C44</f>
        <v>649.09090909090901</v>
      </c>
      <c r="E44" s="13" t="s">
        <v>83</v>
      </c>
      <c r="F44" s="16">
        <v>15</v>
      </c>
      <c r="G44" s="14">
        <f t="shared" si="5"/>
        <v>9736.363636363636</v>
      </c>
    </row>
    <row r="45" spans="1:9" ht="15.75" customHeight="1" x14ac:dyDescent="0.2">
      <c r="A45" s="5" t="s">
        <v>84</v>
      </c>
      <c r="B45" s="5" t="s">
        <v>85</v>
      </c>
      <c r="C45" s="29">
        <v>1.3</v>
      </c>
      <c r="D45" s="10">
        <f>D19*C45</f>
        <v>803.63636363636363</v>
      </c>
      <c r="E45" s="5" t="s">
        <v>86</v>
      </c>
      <c r="F45" s="12">
        <v>10</v>
      </c>
      <c r="G45" s="10">
        <f t="shared" si="5"/>
        <v>8036.363636363636</v>
      </c>
    </row>
    <row r="46" spans="1:9" ht="15.75" customHeight="1" x14ac:dyDescent="0.2">
      <c r="A46" s="13" t="s">
        <v>87</v>
      </c>
      <c r="B46" s="13" t="s">
        <v>88</v>
      </c>
      <c r="C46" s="30">
        <v>1.75</v>
      </c>
      <c r="D46" s="14">
        <f>D19*C46</f>
        <v>1081.8181818181818</v>
      </c>
      <c r="E46" s="13" t="s">
        <v>89</v>
      </c>
      <c r="F46" s="16">
        <v>5</v>
      </c>
      <c r="G46" s="14">
        <f t="shared" si="5"/>
        <v>5409.090909090909</v>
      </c>
    </row>
    <row r="47" spans="1:9" ht="15.75" customHeight="1" x14ac:dyDescent="0.2">
      <c r="A47" s="5" t="s">
        <v>90</v>
      </c>
      <c r="B47" s="5" t="s">
        <v>91</v>
      </c>
      <c r="C47" s="29">
        <v>1.1499999999999999</v>
      </c>
      <c r="D47" s="10">
        <f>D19*C47</f>
        <v>710.90909090909076</v>
      </c>
      <c r="E47" s="5" t="s">
        <v>92</v>
      </c>
      <c r="F47" s="12">
        <v>10</v>
      </c>
      <c r="G47" s="10">
        <f t="shared" si="5"/>
        <v>7109.0909090909081</v>
      </c>
    </row>
    <row r="48" spans="1:9" ht="15" customHeight="1" x14ac:dyDescent="0.2">
      <c r="A48" s="17" t="s">
        <v>93</v>
      </c>
      <c r="F48" s="31">
        <f>SUM(F41:F47)</f>
        <v>125</v>
      </c>
      <c r="G48" s="20">
        <f>SUM(G41:G47)</f>
        <v>74181.818181818177</v>
      </c>
    </row>
  </sheetData>
  <mergeCells count="6">
    <mergeCell ref="A39:I39"/>
    <mergeCell ref="A1:M1"/>
    <mergeCell ref="A2:M2"/>
    <mergeCell ref="A4:F4"/>
    <mergeCell ref="A17:L17"/>
    <mergeCell ref="A31:I3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&amp; Revenue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Wen Chai</cp:lastModifiedBy>
  <cp:revision>0</cp:revision>
  <dcterms:created xsi:type="dcterms:W3CDTF">2026-05-04T13:36:07Z</dcterms:created>
  <dcterms:modified xsi:type="dcterms:W3CDTF">2026-05-04T13:49:37Z</dcterms:modified>
  <dc:language>en-US</dc:language>
</cp:coreProperties>
</file>
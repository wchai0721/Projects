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wenchai/Downloads/"/>
    </mc:Choice>
  </mc:AlternateContent>
  <xr:revisionPtr revIDLastSave="0" documentId="13_ncr:1_{21DB70C4-743D-6245-A948-63B0707BDCE7}" xr6:coauthVersionLast="47" xr6:coauthVersionMax="47" xr10:uidLastSave="{00000000-0000-0000-0000-000000000000}"/>
  <bookViews>
    <workbookView xWindow="0" yWindow="660" windowWidth="29400" windowHeight="17320" tabRatio="500" xr2:uid="{00000000-000D-0000-FFFF-FFFF00000000}"/>
  </bookViews>
  <sheets>
    <sheet name="NPI Launch Tracker" sheetId="2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0" i="2" l="1"/>
  <c r="B39" i="2"/>
  <c r="B38" i="2"/>
  <c r="B37" i="2"/>
  <c r="K19" i="2"/>
  <c r="B36" i="2" s="1"/>
  <c r="J19" i="2"/>
  <c r="B33" i="2" s="1"/>
  <c r="I19" i="2"/>
  <c r="B41" i="2" s="1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L19" i="2" l="1"/>
  <c r="B35" i="2" s="1"/>
  <c r="M19" i="2"/>
  <c r="B34" i="2"/>
</calcChain>
</file>

<file path=xl/sharedStrings.xml><?xml version="1.0" encoding="utf-8"?>
<sst xmlns="http://schemas.openxmlformats.org/spreadsheetml/2006/main" count="158" uniqueCount="128">
  <si>
    <t>Tracks milestones, cross-functional owners, timelines, and budget for each new product/service line launch</t>
  </si>
  <si>
    <t>STATUS LEGEND:</t>
  </si>
  <si>
    <t>Not Started</t>
  </si>
  <si>
    <t>In Progress</t>
  </si>
  <si>
    <t>On Track</t>
  </si>
  <si>
    <t>At Risk</t>
  </si>
  <si>
    <t>Delayed</t>
  </si>
  <si>
    <t>Complete</t>
  </si>
  <si>
    <t>Product / Service Name</t>
  </si>
  <si>
    <t>Phase</t>
  </si>
  <si>
    <t>Owner (PI / Staff)</t>
  </si>
  <si>
    <t>Cross-Functional Team</t>
  </si>
  <si>
    <t>Planned Start</t>
  </si>
  <si>
    <t>Target Launch</t>
  </si>
  <si>
    <t>Milestone Gate</t>
  </si>
  <si>
    <t>Status</t>
  </si>
  <si>
    <t>% Complete</t>
  </si>
  <si>
    <t>Budget ($)</t>
  </si>
  <si>
    <t>Spent to Date ($)</t>
  </si>
  <si>
    <t>Remaining ($)</t>
  </si>
  <si>
    <t>Budget Var. (%)</t>
  </si>
  <si>
    <t>Notes / Blockers</t>
  </si>
  <si>
    <t xml:space="preserve">  Banked iPSC Line – Skin Fibroblast</t>
  </si>
  <si>
    <t>Phase 1: Feasibility</t>
  </si>
  <si>
    <t>Neurosurgery, IRB, Biosafety</t>
  </si>
  <si>
    <t>2026-06-01</t>
  </si>
  <si>
    <t>2026-12-01</t>
  </si>
  <si>
    <t>IRB approval + 3 pilot vials passed QC</t>
  </si>
  <si>
    <t xml:space="preserve">  Banked iPSC Line – PBMC-derived</t>
  </si>
  <si>
    <t>Hematology, Cell Therapy Core</t>
  </si>
  <si>
    <t>2026-07-01</t>
  </si>
  <si>
    <t>2027-02-01</t>
  </si>
  <si>
    <t>Protocol validation + GMP-lite SOP</t>
  </si>
  <si>
    <t xml:space="preserve">  Custom Reprogramming Service</t>
  </si>
  <si>
    <t>Phase 2: Development</t>
  </si>
  <si>
    <t>Core Manager</t>
  </si>
  <si>
    <t>Finance, Legal (IP), QA</t>
  </si>
  <si>
    <t>2026-05-01</t>
  </si>
  <si>
    <t>2026-10-01</t>
  </si>
  <si>
    <t>SOP final + 2 successful customer runs</t>
  </si>
  <si>
    <t xml:space="preserve">  Characterization Package (STR+Pluri)</t>
  </si>
  <si>
    <t>QA Lead</t>
  </si>
  <si>
    <t>Genomics Core, Flow Cytometry</t>
  </si>
  <si>
    <t>2026-05-15</t>
  </si>
  <si>
    <t>2026-09-01</t>
  </si>
  <si>
    <t>Panel validated; 10 samples tested</t>
  </si>
  <si>
    <t xml:space="preserve">  Exosome Harvest Service</t>
  </si>
  <si>
    <t>Phase 3: Pilot Launch</t>
  </si>
  <si>
    <t>Wen</t>
  </si>
  <si>
    <t>Neurosurgery, Bioengineering</t>
  </si>
  <si>
    <t>2026-08-01</t>
  </si>
  <si>
    <t>2027-01-01</t>
  </si>
  <si>
    <t>5 pilot preps; SEC/NTA QC passed</t>
  </si>
  <si>
    <t xml:space="preserve">  Assembloid Differentiation Service</t>
  </si>
  <si>
    <t>Neurosurgery, Stem Cell Institute</t>
  </si>
  <si>
    <t>2027-06-01</t>
  </si>
  <si>
    <t>3 customer assembloids delivered</t>
  </si>
  <si>
    <t xml:space="preserve">  Annual Storage Subscription Launch</t>
  </si>
  <si>
    <t>Admin / Finance</t>
  </si>
  <si>
    <t>Facilities, IT, Legal</t>
  </si>
  <si>
    <t>Contract template + billing system live</t>
  </si>
  <si>
    <t xml:space="preserve">  Pharma Licensing Framework</t>
  </si>
  <si>
    <t>Legal / PI</t>
  </si>
  <si>
    <t>OTC (Tech Transfer), Finance</t>
  </si>
  <si>
    <t>2027-03-01</t>
  </si>
  <si>
    <t>IP policy approved; 1 signed agreement</t>
  </si>
  <si>
    <t xml:space="preserve">  Training &amp; Bench Access Program</t>
  </si>
  <si>
    <t>Safety, Facilities, Education</t>
  </si>
  <si>
    <t>2026-06-15</t>
  </si>
  <si>
    <t>2026-11-01</t>
  </si>
  <si>
    <t>Safety training module + 5 paying users</t>
  </si>
  <si>
    <t xml:space="preserve">  International Distribution Pipeline</t>
  </si>
  <si>
    <t>Phase 4: Scale</t>
  </si>
  <si>
    <t>Legal, Export Control, Finance</t>
  </si>
  <si>
    <t>2027-09-01</t>
  </si>
  <si>
    <t>Export license + first EU shipment</t>
  </si>
  <si>
    <t>PROJECT TOTAL</t>
  </si>
  <si>
    <t>MILESTONE GATE DEFINITIONS  (Stage-Gate Framework)</t>
  </si>
  <si>
    <t>Gate Name</t>
  </si>
  <si>
    <t>Exit Criteria</t>
  </si>
  <si>
    <t>Approver</t>
  </si>
  <si>
    <t>Typical Duration</t>
  </si>
  <si>
    <t>Key Documents</t>
  </si>
  <si>
    <t>Gate 0 – Concept Approval</t>
  </si>
  <si>
    <t>Scientific rationale + market need confirmed; budget approved</t>
  </si>
  <si>
    <t>PI + Dept Chair</t>
  </si>
  <si>
    <t>4-8 weeks</t>
  </si>
  <si>
    <t>Concept brief, budget request</t>
  </si>
  <si>
    <t>Gate 1 – Feasibility Sign-off</t>
  </si>
  <si>
    <t>Pilot data available; IRB/biosafety path identified; IP cleared</t>
  </si>
  <si>
    <t>PI + OTC + IRB</t>
  </si>
  <si>
    <t>8-16 weeks</t>
  </si>
  <si>
    <t>Pilot data summary, IRB pre-review</t>
  </si>
  <si>
    <t>Gate 2 – SOP Validation</t>
  </si>
  <si>
    <t>SOP v1.0 finalized; QC criteria met in ≥3 internal runs</t>
  </si>
  <si>
    <t>QA Lead + Core Manager</t>
  </si>
  <si>
    <t>12-20 weeks</t>
  </si>
  <si>
    <t>SOP, QC report, risk assessment</t>
  </si>
  <si>
    <t>Gate 3 – Pricing Approval</t>
  </si>
  <si>
    <t>Pricing model reviewed; legal/contract template approved</t>
  </si>
  <si>
    <t>Finance + Legal + PI</t>
  </si>
  <si>
    <t>4-6 weeks</t>
  </si>
  <si>
    <t>Pricing model (this workbook), contract</t>
  </si>
  <si>
    <t>Gate 4 – Pilot Customer Done</t>
  </si>
  <si>
    <t>≥2 external customers served; feedback incorporated</t>
  </si>
  <si>
    <t>PI + Core Manager</t>
  </si>
  <si>
    <t>Customer feedback log, adverse event log</t>
  </si>
  <si>
    <t>Gate 5 – Full Commercial</t>
  </si>
  <si>
    <t>Volume target met; financials on track; staff trained</t>
  </si>
  <si>
    <t>Dept Chair + Finance</t>
  </si>
  <si>
    <t>Ongoing</t>
  </si>
  <si>
    <t>Monthly KPI dashboard, P&amp;L summary</t>
  </si>
  <si>
    <t>BUDGET DASHBOARD  (Auto-calculated from NPI table above)</t>
  </si>
  <si>
    <t>Total Program Budget</t>
  </si>
  <si>
    <t>Total Spent to Date</t>
  </si>
  <si>
    <t>Remaining Budget</t>
  </si>
  <si>
    <t>Budget Utilization Rate</t>
  </si>
  <si>
    <t>Products in Phase 1</t>
  </si>
  <si>
    <t>Products in Phase 2</t>
  </si>
  <si>
    <t>Products in Phase 3+</t>
  </si>
  <si>
    <t>Products Complete</t>
  </si>
  <si>
    <t>Average % Complete (all lines)</t>
  </si>
  <si>
    <t>Blue = Input  |  Black = Formula  |  Green = Cross-sheet</t>
  </si>
  <si>
    <t>Wen / XYZ Lab</t>
  </si>
  <si>
    <t>XYZ Lab / Core</t>
  </si>
  <si>
    <t>XYZ Lab</t>
  </si>
  <si>
    <t>PI / XYZ Lab</t>
  </si>
  <si>
    <t>XYZ University iPSC Cell Line Bank – New Product Introduction (NPI) 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</si>
</sst>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$#,##0"/>
    <numFmt numFmtId="165" formatCode="0.0%"/>
    <numFmt numFmtId="169" formatCode="0.0%;\(0.0%\);\-"/>
    <numFmt numFmtId="171" formatCode="yyyy\-mm\-dd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i/>
      <sz val="10"/>
      <color rgb="FF555555"/>
      <name val="Arial"/>
      <family val="2"/>
    </font>
    <font>
      <b/>
      <sz val="11"/>
      <color rgb="FFFFFFFF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11"/>
      <color rgb="FF000000"/>
      <name val="Cambria"/>
      <family val="1"/>
    </font>
    <font>
      <b/>
      <sz val="9"/>
      <color rgb="FF000000"/>
      <name val="Arial"/>
      <family val="2"/>
    </font>
    <font>
      <b/>
      <sz val="9"/>
      <color rgb="FFFFFFFF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D2D6B"/>
        <bgColor rgb="FF1F4E79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0D2D6B"/>
      </patternFill>
    </fill>
    <fill>
      <patternFill patternType="solid">
        <fgColor rgb="FFEBF3FF"/>
        <bgColor rgb="FFFFFFFF"/>
      </patternFill>
    </fill>
    <fill>
      <patternFill patternType="solid">
        <fgColor rgb="FFC6EFCE"/>
        <bgColor rgb="FFCCFFFF"/>
      </patternFill>
    </fill>
    <fill>
      <patternFill patternType="solid">
        <fgColor rgb="FFFFFFFF"/>
        <bgColor rgb="FFEBF3FF"/>
      </patternFill>
    </fill>
    <fill>
      <patternFill patternType="solid">
        <fgColor rgb="FFFFF2CC"/>
        <bgColor rgb="FFFFEB9C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FEB9C"/>
      </patternFill>
    </fill>
    <fill>
      <patternFill patternType="solid">
        <fgColor rgb="FF375623"/>
        <bgColor rgb="FF555555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/>
    </xf>
    <xf numFmtId="0" fontId="3" fillId="4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right"/>
    </xf>
    <xf numFmtId="0" fontId="5" fillId="5" borderId="1" xfId="0" applyFont="1" applyFill="1" applyBorder="1" applyAlignment="1">
      <alignment horizontal="left" vertical="center"/>
    </xf>
    <xf numFmtId="164" fontId="7" fillId="5" borderId="1" xfId="0" applyNumberFormat="1" applyFont="1" applyFill="1" applyBorder="1" applyAlignment="1">
      <alignment horizontal="right"/>
    </xf>
    <xf numFmtId="0" fontId="4" fillId="6" borderId="1" xfId="0" applyFont="1" applyFill="1" applyBorder="1" applyAlignment="1">
      <alignment horizontal="left" vertical="center"/>
    </xf>
    <xf numFmtId="0" fontId="4" fillId="6" borderId="0" xfId="0" applyFont="1" applyFill="1"/>
    <xf numFmtId="164" fontId="4" fillId="6" borderId="1" xfId="0" applyNumberFormat="1" applyFont="1" applyFill="1" applyBorder="1" applyAlignment="1">
      <alignment horizontal="right"/>
    </xf>
    <xf numFmtId="169" fontId="7" fillId="0" borderId="1" xfId="0" applyNumberFormat="1" applyFont="1" applyBorder="1" applyAlignment="1">
      <alignment horizontal="right"/>
    </xf>
    <xf numFmtId="169" fontId="7" fillId="5" borderId="1" xfId="0" applyNumberFormat="1" applyFont="1" applyFill="1" applyBorder="1" applyAlignment="1">
      <alignment horizontal="right"/>
    </xf>
    <xf numFmtId="0" fontId="8" fillId="7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8" fillId="10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171" fontId="6" fillId="5" borderId="1" xfId="0" applyNumberFormat="1" applyFont="1" applyFill="1" applyBorder="1" applyAlignment="1">
      <alignment horizontal="right"/>
    </xf>
    <xf numFmtId="9" fontId="6" fillId="5" borderId="1" xfId="0" applyNumberFormat="1" applyFont="1" applyFill="1" applyBorder="1" applyAlignment="1">
      <alignment horizontal="right"/>
    </xf>
    <xf numFmtId="164" fontId="6" fillId="5" borderId="1" xfId="0" applyNumberFormat="1" applyFont="1" applyFill="1" applyBorder="1" applyAlignment="1">
      <alignment horizontal="right"/>
    </xf>
    <xf numFmtId="171" fontId="6" fillId="0" borderId="1" xfId="0" applyNumberFormat="1" applyFont="1" applyBorder="1" applyAlignment="1">
      <alignment horizontal="right"/>
    </xf>
    <xf numFmtId="9" fontId="6" fillId="0" borderId="1" xfId="0" applyNumberFormat="1" applyFont="1" applyBorder="1" applyAlignment="1">
      <alignment horizontal="right"/>
    </xf>
    <xf numFmtId="9" fontId="4" fillId="6" borderId="1" xfId="0" applyNumberFormat="1" applyFont="1" applyFill="1" applyBorder="1" applyAlignment="1">
      <alignment horizontal="right"/>
    </xf>
    <xf numFmtId="169" fontId="4" fillId="6" borderId="1" xfId="0" applyNumberFormat="1" applyFont="1" applyFill="1" applyBorder="1" applyAlignment="1">
      <alignment horizontal="right"/>
    </xf>
    <xf numFmtId="0" fontId="4" fillId="5" borderId="1" xfId="0" applyFont="1" applyFill="1" applyBorder="1" applyAlignment="1">
      <alignment horizontal="left" vertical="center"/>
    </xf>
    <xf numFmtId="164" fontId="4" fillId="12" borderId="1" xfId="0" applyNumberFormat="1" applyFont="1" applyFill="1" applyBorder="1" applyAlignment="1">
      <alignment horizontal="right"/>
    </xf>
    <xf numFmtId="165" fontId="4" fillId="12" borderId="1" xfId="0" applyNumberFormat="1" applyFont="1" applyFill="1" applyBorder="1" applyAlignment="1">
      <alignment horizontal="right"/>
    </xf>
    <xf numFmtId="1" fontId="4" fillId="12" borderId="1" xfId="0" applyNumberFormat="1" applyFont="1" applyFill="1" applyBorder="1" applyAlignment="1">
      <alignment horizontal="right"/>
    </xf>
    <xf numFmtId="9" fontId="4" fillId="12" borderId="1" xfId="0" applyNumberFormat="1" applyFont="1" applyFill="1" applyBorder="1" applyAlignment="1">
      <alignment horizontal="right"/>
    </xf>
    <xf numFmtId="0" fontId="3" fillId="4" borderId="2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BF3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55555"/>
      <rgbColor rgb="FFAAAAAA"/>
      <rgbColor rgb="FF0D2D6B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1"/>
  <sheetViews>
    <sheetView showGridLines="0" tabSelected="1" zoomScaleNormal="100" workbookViewId="0">
      <pane xSplit="2" ySplit="8" topLeftCell="C9" activePane="bottomRight" state="frozen"/>
      <selection pane="topRight" activeCell="C1" sqref="C1"/>
      <selection pane="bottomLeft" activeCell="A8" sqref="A8"/>
      <selection pane="bottomRight" sqref="A1:N1"/>
    </sheetView>
  </sheetViews>
  <sheetFormatPr baseColWidth="10" defaultColWidth="8.6640625" defaultRowHeight="15" x14ac:dyDescent="0.2"/>
  <cols>
    <col min="1" max="1" width="28" customWidth="1"/>
    <col min="2" max="2" width="14" customWidth="1"/>
    <col min="3" max="3" width="20" customWidth="1"/>
    <col min="4" max="4" width="24" customWidth="1"/>
    <col min="5" max="6" width="13" customWidth="1"/>
    <col min="7" max="7" width="28" customWidth="1"/>
    <col min="8" max="8" width="13" customWidth="1"/>
    <col min="9" max="9" width="11" customWidth="1"/>
    <col min="10" max="10" width="12" customWidth="1"/>
    <col min="11" max="11" width="14" customWidth="1"/>
    <col min="12" max="13" width="13" customWidth="1"/>
    <col min="14" max="14" width="36" customWidth="1"/>
  </cols>
  <sheetData>
    <row r="1" spans="1:14" ht="30" customHeight="1" x14ac:dyDescent="0.2">
      <c r="A1" s="3" t="s">
        <v>127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ht="1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ht="15" customHeight="1" x14ac:dyDescent="0.2">
      <c r="A3" s="2" t="s">
        <v>122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5" spans="1:14" ht="15" customHeight="1" x14ac:dyDescent="0.2">
      <c r="A5" s="4" t="s">
        <v>1</v>
      </c>
      <c r="B5" s="16" t="s">
        <v>2</v>
      </c>
      <c r="C5" s="17" t="s">
        <v>3</v>
      </c>
      <c r="D5" s="18" t="s">
        <v>4</v>
      </c>
      <c r="E5" s="19" t="s">
        <v>5</v>
      </c>
      <c r="F5" s="20" t="s">
        <v>6</v>
      </c>
      <c r="G5" s="21" t="s">
        <v>7</v>
      </c>
    </row>
    <row r="8" spans="1:14" ht="26.25" customHeight="1" x14ac:dyDescent="0.2">
      <c r="A8" s="7" t="s">
        <v>8</v>
      </c>
      <c r="B8" s="7" t="s">
        <v>9</v>
      </c>
      <c r="C8" s="7" t="s">
        <v>10</v>
      </c>
      <c r="D8" s="7" t="s">
        <v>11</v>
      </c>
      <c r="E8" s="7" t="s">
        <v>12</v>
      </c>
      <c r="F8" s="7" t="s">
        <v>13</v>
      </c>
      <c r="G8" s="7" t="s">
        <v>14</v>
      </c>
      <c r="H8" s="7" t="s">
        <v>15</v>
      </c>
      <c r="I8" s="7" t="s">
        <v>16</v>
      </c>
      <c r="J8" s="7" t="s">
        <v>17</v>
      </c>
      <c r="K8" s="7" t="s">
        <v>18</v>
      </c>
      <c r="L8" s="7" t="s">
        <v>19</v>
      </c>
      <c r="M8" s="7" t="s">
        <v>20</v>
      </c>
      <c r="N8" s="7" t="s">
        <v>21</v>
      </c>
    </row>
    <row r="9" spans="1:14" ht="18" customHeight="1" x14ac:dyDescent="0.2">
      <c r="A9" s="9" t="s">
        <v>22</v>
      </c>
      <c r="B9" s="9" t="s">
        <v>23</v>
      </c>
      <c r="C9" s="9" t="s">
        <v>123</v>
      </c>
      <c r="D9" s="9" t="s">
        <v>24</v>
      </c>
      <c r="E9" s="22" t="s">
        <v>25</v>
      </c>
      <c r="F9" s="22" t="s">
        <v>26</v>
      </c>
      <c r="G9" s="9" t="s">
        <v>27</v>
      </c>
      <c r="H9" s="17" t="s">
        <v>3</v>
      </c>
      <c r="I9" s="23">
        <v>0.25</v>
      </c>
      <c r="J9" s="24">
        <v>45000</v>
      </c>
      <c r="K9" s="24">
        <v>8000</v>
      </c>
      <c r="L9" s="10">
        <f t="shared" ref="L9:L18" si="0">J9-K9</f>
        <v>37000</v>
      </c>
      <c r="M9" s="15">
        <f t="shared" ref="M9:M19" si="1">IF(J9&gt;0,(K9-J9)/J9,0)</f>
        <v>-0.82222222222222219</v>
      </c>
      <c r="N9" s="9"/>
    </row>
    <row r="10" spans="1:14" ht="18" customHeight="1" x14ac:dyDescent="0.2">
      <c r="A10" s="5" t="s">
        <v>28</v>
      </c>
      <c r="B10" s="5" t="s">
        <v>23</v>
      </c>
      <c r="C10" s="5" t="s">
        <v>124</v>
      </c>
      <c r="D10" s="5" t="s">
        <v>29</v>
      </c>
      <c r="E10" s="25" t="s">
        <v>30</v>
      </c>
      <c r="F10" s="25" t="s">
        <v>31</v>
      </c>
      <c r="G10" s="5" t="s">
        <v>32</v>
      </c>
      <c r="H10" s="16" t="s">
        <v>2</v>
      </c>
      <c r="I10" s="26">
        <v>0</v>
      </c>
      <c r="J10" s="6">
        <v>62000</v>
      </c>
      <c r="K10" s="6">
        <v>0</v>
      </c>
      <c r="L10" s="8">
        <f t="shared" si="0"/>
        <v>62000</v>
      </c>
      <c r="M10" s="14">
        <f t="shared" si="1"/>
        <v>-1</v>
      </c>
      <c r="N10" s="5"/>
    </row>
    <row r="11" spans="1:14" ht="18" customHeight="1" x14ac:dyDescent="0.2">
      <c r="A11" s="9" t="s">
        <v>33</v>
      </c>
      <c r="B11" s="9" t="s">
        <v>34</v>
      </c>
      <c r="C11" s="9" t="s">
        <v>35</v>
      </c>
      <c r="D11" s="9" t="s">
        <v>36</v>
      </c>
      <c r="E11" s="22" t="s">
        <v>37</v>
      </c>
      <c r="F11" s="22" t="s">
        <v>38</v>
      </c>
      <c r="G11" s="9" t="s">
        <v>39</v>
      </c>
      <c r="H11" s="18" t="s">
        <v>4</v>
      </c>
      <c r="I11" s="23">
        <v>0.55000000000000004</v>
      </c>
      <c r="J11" s="24">
        <v>28000</v>
      </c>
      <c r="K11" s="24">
        <v>16000</v>
      </c>
      <c r="L11" s="10">
        <f t="shared" si="0"/>
        <v>12000</v>
      </c>
      <c r="M11" s="15">
        <f t="shared" si="1"/>
        <v>-0.42857142857142855</v>
      </c>
      <c r="N11" s="9"/>
    </row>
    <row r="12" spans="1:14" ht="18" customHeight="1" x14ac:dyDescent="0.2">
      <c r="A12" s="5" t="s">
        <v>40</v>
      </c>
      <c r="B12" s="5" t="s">
        <v>34</v>
      </c>
      <c r="C12" s="5" t="s">
        <v>41</v>
      </c>
      <c r="D12" s="5" t="s">
        <v>42</v>
      </c>
      <c r="E12" s="25" t="s">
        <v>43</v>
      </c>
      <c r="F12" s="25" t="s">
        <v>44</v>
      </c>
      <c r="G12" s="5" t="s">
        <v>45</v>
      </c>
      <c r="H12" s="18" t="s">
        <v>4</v>
      </c>
      <c r="I12" s="26">
        <v>0.7</v>
      </c>
      <c r="J12" s="6">
        <v>15000</v>
      </c>
      <c r="K12" s="6">
        <v>11000</v>
      </c>
      <c r="L12" s="8">
        <f t="shared" si="0"/>
        <v>4000</v>
      </c>
      <c r="M12" s="14">
        <f t="shared" si="1"/>
        <v>-0.26666666666666666</v>
      </c>
      <c r="N12" s="5"/>
    </row>
    <row r="13" spans="1:14" ht="18" customHeight="1" x14ac:dyDescent="0.2">
      <c r="A13" s="9" t="s">
        <v>46</v>
      </c>
      <c r="B13" s="9" t="s">
        <v>47</v>
      </c>
      <c r="C13" s="9" t="s">
        <v>48</v>
      </c>
      <c r="D13" s="9" t="s">
        <v>49</v>
      </c>
      <c r="E13" s="22" t="s">
        <v>50</v>
      </c>
      <c r="F13" s="22" t="s">
        <v>51</v>
      </c>
      <c r="G13" s="9" t="s">
        <v>52</v>
      </c>
      <c r="H13" s="16" t="s">
        <v>2</v>
      </c>
      <c r="I13" s="23">
        <v>0</v>
      </c>
      <c r="J13" s="24">
        <v>38000</v>
      </c>
      <c r="K13" s="24">
        <v>0</v>
      </c>
      <c r="L13" s="10">
        <f t="shared" si="0"/>
        <v>38000</v>
      </c>
      <c r="M13" s="15">
        <f t="shared" si="1"/>
        <v>-1</v>
      </c>
      <c r="N13" s="9"/>
    </row>
    <row r="14" spans="1:14" ht="18" customHeight="1" x14ac:dyDescent="0.2">
      <c r="A14" s="5" t="s">
        <v>53</v>
      </c>
      <c r="B14" s="5" t="s">
        <v>47</v>
      </c>
      <c r="C14" s="5" t="s">
        <v>125</v>
      </c>
      <c r="D14" s="5" t="s">
        <v>54</v>
      </c>
      <c r="E14" s="25" t="s">
        <v>44</v>
      </c>
      <c r="F14" s="25" t="s">
        <v>55</v>
      </c>
      <c r="G14" s="5" t="s">
        <v>56</v>
      </c>
      <c r="H14" s="16" t="s">
        <v>2</v>
      </c>
      <c r="I14" s="26">
        <v>0</v>
      </c>
      <c r="J14" s="6">
        <v>55000</v>
      </c>
      <c r="K14" s="6">
        <v>0</v>
      </c>
      <c r="L14" s="8">
        <f t="shared" si="0"/>
        <v>55000</v>
      </c>
      <c r="M14" s="14">
        <f t="shared" si="1"/>
        <v>-1</v>
      </c>
      <c r="N14" s="5"/>
    </row>
    <row r="15" spans="1:14" ht="18" customHeight="1" x14ac:dyDescent="0.2">
      <c r="A15" s="9" t="s">
        <v>57</v>
      </c>
      <c r="B15" s="9" t="s">
        <v>34</v>
      </c>
      <c r="C15" s="9" t="s">
        <v>58</v>
      </c>
      <c r="D15" s="9" t="s">
        <v>59</v>
      </c>
      <c r="E15" s="22" t="s">
        <v>25</v>
      </c>
      <c r="F15" s="22" t="s">
        <v>50</v>
      </c>
      <c r="G15" s="9" t="s">
        <v>60</v>
      </c>
      <c r="H15" s="17" t="s">
        <v>3</v>
      </c>
      <c r="I15" s="23">
        <v>0.4</v>
      </c>
      <c r="J15" s="24">
        <v>8000</v>
      </c>
      <c r="K15" s="24">
        <v>3200</v>
      </c>
      <c r="L15" s="10">
        <f t="shared" si="0"/>
        <v>4800</v>
      </c>
      <c r="M15" s="15">
        <f t="shared" si="1"/>
        <v>-0.6</v>
      </c>
      <c r="N15" s="9"/>
    </row>
    <row r="16" spans="1:14" ht="18" customHeight="1" x14ac:dyDescent="0.2">
      <c r="A16" s="5" t="s">
        <v>61</v>
      </c>
      <c r="B16" s="5" t="s">
        <v>23</v>
      </c>
      <c r="C16" s="5" t="s">
        <v>62</v>
      </c>
      <c r="D16" s="5" t="s">
        <v>63</v>
      </c>
      <c r="E16" s="25" t="s">
        <v>30</v>
      </c>
      <c r="F16" s="25" t="s">
        <v>64</v>
      </c>
      <c r="G16" s="5" t="s">
        <v>65</v>
      </c>
      <c r="H16" s="16" t="s">
        <v>2</v>
      </c>
      <c r="I16" s="26">
        <v>0</v>
      </c>
      <c r="J16" s="6">
        <v>12000</v>
      </c>
      <c r="K16" s="6">
        <v>0</v>
      </c>
      <c r="L16" s="8">
        <f t="shared" si="0"/>
        <v>12000</v>
      </c>
      <c r="M16" s="14">
        <f t="shared" si="1"/>
        <v>-1</v>
      </c>
      <c r="N16" s="5"/>
    </row>
    <row r="17" spans="1:14" ht="18" customHeight="1" x14ac:dyDescent="0.2">
      <c r="A17" s="9" t="s">
        <v>66</v>
      </c>
      <c r="B17" s="9" t="s">
        <v>34</v>
      </c>
      <c r="C17" s="9" t="s">
        <v>35</v>
      </c>
      <c r="D17" s="9" t="s">
        <v>67</v>
      </c>
      <c r="E17" s="22" t="s">
        <v>68</v>
      </c>
      <c r="F17" s="22" t="s">
        <v>69</v>
      </c>
      <c r="G17" s="9" t="s">
        <v>70</v>
      </c>
      <c r="H17" s="17" t="s">
        <v>3</v>
      </c>
      <c r="I17" s="23">
        <v>0.3</v>
      </c>
      <c r="J17" s="24">
        <v>9500</v>
      </c>
      <c r="K17" s="24">
        <v>2800</v>
      </c>
      <c r="L17" s="10">
        <f t="shared" si="0"/>
        <v>6700</v>
      </c>
      <c r="M17" s="15">
        <f t="shared" si="1"/>
        <v>-0.70526315789473681</v>
      </c>
      <c r="N17" s="9"/>
    </row>
    <row r="18" spans="1:14" ht="18" customHeight="1" x14ac:dyDescent="0.2">
      <c r="A18" s="5" t="s">
        <v>71</v>
      </c>
      <c r="B18" s="5" t="s">
        <v>72</v>
      </c>
      <c r="C18" s="5" t="s">
        <v>126</v>
      </c>
      <c r="D18" s="5" t="s">
        <v>73</v>
      </c>
      <c r="E18" s="25" t="s">
        <v>51</v>
      </c>
      <c r="F18" s="25" t="s">
        <v>74</v>
      </c>
      <c r="G18" s="5" t="s">
        <v>75</v>
      </c>
      <c r="H18" s="16" t="s">
        <v>2</v>
      </c>
      <c r="I18" s="26">
        <v>0</v>
      </c>
      <c r="J18" s="6">
        <v>22000</v>
      </c>
      <c r="K18" s="6">
        <v>0</v>
      </c>
      <c r="L18" s="8">
        <f t="shared" si="0"/>
        <v>22000</v>
      </c>
      <c r="M18" s="14">
        <f t="shared" si="1"/>
        <v>-1</v>
      </c>
      <c r="N18" s="5"/>
    </row>
    <row r="19" spans="1:14" ht="15" customHeight="1" x14ac:dyDescent="0.2">
      <c r="A19" s="11" t="s">
        <v>76</v>
      </c>
      <c r="B19" s="12"/>
      <c r="C19" s="12"/>
      <c r="D19" s="12"/>
      <c r="E19" s="12"/>
      <c r="F19" s="12"/>
      <c r="G19" s="12"/>
      <c r="H19" s="12"/>
      <c r="I19" s="27">
        <f>AVERAGE(I9:I18)</f>
        <v>0.21999999999999997</v>
      </c>
      <c r="J19" s="13">
        <f>SUM(J9:J18)</f>
        <v>294500</v>
      </c>
      <c r="K19" s="13">
        <f>SUM(K9:K18)</f>
        <v>41000</v>
      </c>
      <c r="L19" s="13">
        <f>SUM(L9:L18)</f>
        <v>253500</v>
      </c>
      <c r="M19" s="28">
        <f t="shared" si="1"/>
        <v>-0.8607809847198642</v>
      </c>
      <c r="N19" s="12"/>
    </row>
    <row r="22" spans="1:14" ht="15" customHeight="1" x14ac:dyDescent="0.2">
      <c r="A22" s="36" t="s">
        <v>77</v>
      </c>
      <c r="B22" s="36"/>
      <c r="C22" s="36"/>
      <c r="D22" s="36"/>
      <c r="E22" s="36"/>
      <c r="F22" s="36"/>
      <c r="G22" s="36"/>
    </row>
    <row r="23" spans="1:14" ht="26.25" customHeight="1" x14ac:dyDescent="0.2">
      <c r="A23" s="7" t="s">
        <v>9</v>
      </c>
      <c r="B23" s="7" t="s">
        <v>78</v>
      </c>
      <c r="C23" s="7" t="s">
        <v>79</v>
      </c>
      <c r="D23" s="7" t="s">
        <v>80</v>
      </c>
      <c r="E23" s="7" t="s">
        <v>81</v>
      </c>
      <c r="F23" s="34" t="s">
        <v>82</v>
      </c>
      <c r="G23" s="35"/>
    </row>
    <row r="24" spans="1:14" ht="18" customHeight="1" x14ac:dyDescent="0.2">
      <c r="A24" s="5" t="s">
        <v>23</v>
      </c>
      <c r="B24" s="4" t="s">
        <v>83</v>
      </c>
      <c r="C24" s="5" t="s">
        <v>84</v>
      </c>
      <c r="D24" s="5" t="s">
        <v>85</v>
      </c>
      <c r="E24" s="5" t="s">
        <v>86</v>
      </c>
      <c r="F24" s="5" t="s">
        <v>87</v>
      </c>
      <c r="G24" s="5"/>
    </row>
    <row r="25" spans="1:14" ht="18" customHeight="1" x14ac:dyDescent="0.2">
      <c r="A25" s="9" t="s">
        <v>23</v>
      </c>
      <c r="B25" s="29" t="s">
        <v>88</v>
      </c>
      <c r="C25" s="9" t="s">
        <v>89</v>
      </c>
      <c r="D25" s="9" t="s">
        <v>90</v>
      </c>
      <c r="E25" s="9" t="s">
        <v>91</v>
      </c>
      <c r="F25" s="9" t="s">
        <v>92</v>
      </c>
      <c r="G25" s="9"/>
    </row>
    <row r="26" spans="1:14" ht="18" customHeight="1" x14ac:dyDescent="0.2">
      <c r="A26" s="5" t="s">
        <v>34</v>
      </c>
      <c r="B26" s="4" t="s">
        <v>93</v>
      </c>
      <c r="C26" s="5" t="s">
        <v>94</v>
      </c>
      <c r="D26" s="5" t="s">
        <v>95</v>
      </c>
      <c r="E26" s="5" t="s">
        <v>96</v>
      </c>
      <c r="F26" s="5" t="s">
        <v>97</v>
      </c>
      <c r="G26" s="5"/>
    </row>
    <row r="27" spans="1:14" ht="18" customHeight="1" x14ac:dyDescent="0.2">
      <c r="A27" s="9" t="s">
        <v>34</v>
      </c>
      <c r="B27" s="29" t="s">
        <v>98</v>
      </c>
      <c r="C27" s="9" t="s">
        <v>99</v>
      </c>
      <c r="D27" s="9" t="s">
        <v>100</v>
      </c>
      <c r="E27" s="9" t="s">
        <v>101</v>
      </c>
      <c r="F27" s="9" t="s">
        <v>102</v>
      </c>
      <c r="G27" s="9"/>
    </row>
    <row r="28" spans="1:14" ht="18" customHeight="1" x14ac:dyDescent="0.2">
      <c r="A28" s="5" t="s">
        <v>47</v>
      </c>
      <c r="B28" s="4" t="s">
        <v>103</v>
      </c>
      <c r="C28" s="5" t="s">
        <v>104</v>
      </c>
      <c r="D28" s="5" t="s">
        <v>105</v>
      </c>
      <c r="E28" s="5" t="s">
        <v>91</v>
      </c>
      <c r="F28" s="5" t="s">
        <v>106</v>
      </c>
      <c r="G28" s="5"/>
    </row>
    <row r="29" spans="1:14" ht="18" customHeight="1" x14ac:dyDescent="0.2">
      <c r="A29" s="9" t="s">
        <v>72</v>
      </c>
      <c r="B29" s="29" t="s">
        <v>107</v>
      </c>
      <c r="C29" s="9" t="s">
        <v>108</v>
      </c>
      <c r="D29" s="9" t="s">
        <v>109</v>
      </c>
      <c r="E29" s="9" t="s">
        <v>110</v>
      </c>
      <c r="F29" s="9" t="s">
        <v>111</v>
      </c>
      <c r="G29" s="9"/>
    </row>
    <row r="32" spans="1:14" ht="15" customHeight="1" x14ac:dyDescent="0.2">
      <c r="A32" s="1" t="s">
        <v>112</v>
      </c>
      <c r="B32" s="1"/>
      <c r="C32" s="1"/>
      <c r="D32" s="1"/>
      <c r="E32" s="1"/>
      <c r="F32" s="1"/>
    </row>
    <row r="33" spans="1:2" ht="18" customHeight="1" x14ac:dyDescent="0.2">
      <c r="A33" s="4" t="s">
        <v>113</v>
      </c>
      <c r="B33" s="30">
        <f>J19</f>
        <v>294500</v>
      </c>
    </row>
    <row r="34" spans="1:2" ht="18" customHeight="1" x14ac:dyDescent="0.2">
      <c r="A34" s="4" t="s">
        <v>114</v>
      </c>
      <c r="B34" s="30">
        <f>K19</f>
        <v>41000</v>
      </c>
    </row>
    <row r="35" spans="1:2" ht="18" customHeight="1" x14ac:dyDescent="0.2">
      <c r="A35" s="4" t="s">
        <v>115</v>
      </c>
      <c r="B35" s="30">
        <f>L19</f>
        <v>253500</v>
      </c>
    </row>
    <row r="36" spans="1:2" ht="18" customHeight="1" x14ac:dyDescent="0.2">
      <c r="A36" s="4" t="s">
        <v>116</v>
      </c>
      <c r="B36" s="31">
        <f>K19/J19</f>
        <v>0.13921901528013583</v>
      </c>
    </row>
    <row r="37" spans="1:2" ht="18" customHeight="1" x14ac:dyDescent="0.2">
      <c r="A37" s="4" t="s">
        <v>117</v>
      </c>
      <c r="B37" s="32">
        <f>COUNTIF(B9:B18,"Phase 1: Feasibility")</f>
        <v>3</v>
      </c>
    </row>
    <row r="38" spans="1:2" ht="18" customHeight="1" x14ac:dyDescent="0.2">
      <c r="A38" s="4" t="s">
        <v>118</v>
      </c>
      <c r="B38" s="32">
        <f>COUNTIF(B9:B18,"Phase 2: Development")</f>
        <v>4</v>
      </c>
    </row>
    <row r="39" spans="1:2" ht="18" customHeight="1" x14ac:dyDescent="0.2">
      <c r="A39" s="4" t="s">
        <v>119</v>
      </c>
      <c r="B39" s="32">
        <f>COUNTIF(B9:B18,"Phase 3: Pilot Launch")+COUNTIF(B9:B18,"Phase 4: Scale")</f>
        <v>3</v>
      </c>
    </row>
    <row r="40" spans="1:2" ht="18" customHeight="1" x14ac:dyDescent="0.2">
      <c r="A40" s="4" t="s">
        <v>120</v>
      </c>
      <c r="B40" s="32">
        <f>COUNTIF(H9:H18,"Complete")</f>
        <v>0</v>
      </c>
    </row>
    <row r="41" spans="1:2" ht="18" customHeight="1" x14ac:dyDescent="0.2">
      <c r="A41" s="4" t="s">
        <v>121</v>
      </c>
      <c r="B41" s="33">
        <f>I19</f>
        <v>0.21999999999999997</v>
      </c>
    </row>
  </sheetData>
  <mergeCells count="5">
    <mergeCell ref="A1:N1"/>
    <mergeCell ref="A2:N2"/>
    <mergeCell ref="A32:F32"/>
    <mergeCell ref="F23:G23"/>
    <mergeCell ref="A3:N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NPI Launch 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Wen Chai</cp:lastModifiedBy>
  <cp:revision>0</cp:revision>
  <dcterms:created xsi:type="dcterms:W3CDTF">2026-05-04T13:36:07Z</dcterms:created>
  <dcterms:modified xsi:type="dcterms:W3CDTF">2026-05-04T13:49:26Z</dcterms:modified>
  <dc:language>en-US</dc:language>
</cp:coreProperties>
</file>